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st.lan\Data\"/>
    </mc:Choice>
  </mc:AlternateContent>
  <xr:revisionPtr revIDLastSave="0" documentId="8_{ECF3D11B-B382-4C9C-878C-23EE5703E1A3}" xr6:coauthVersionLast="47" xr6:coauthVersionMax="47" xr10:uidLastSave="{00000000-0000-0000-0000-000000000000}"/>
  <bookViews>
    <workbookView xWindow="-120" yWindow="-120" windowWidth="38640" windowHeight="21180" xr2:uid="{B2A1465D-BD8F-46D4-AFBB-6D0FEB900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17" i="1"/>
  <c r="G18" i="1"/>
  <c r="G19" i="1"/>
  <c r="G20" i="1"/>
  <c r="G21" i="1"/>
  <c r="G16" i="1"/>
  <c r="G13" i="1"/>
  <c r="H3" i="1"/>
  <c r="H4" i="1"/>
  <c r="H6" i="1"/>
  <c r="H7" i="1"/>
  <c r="H8" i="1"/>
  <c r="H10" i="1"/>
  <c r="H11" i="1"/>
  <c r="H13" i="1"/>
  <c r="H16" i="1"/>
  <c r="H17" i="1"/>
  <c r="H18" i="1"/>
  <c r="H19" i="1"/>
  <c r="H20" i="1"/>
  <c r="H21" i="1"/>
  <c r="H2" i="1"/>
  <c r="G11" i="1"/>
  <c r="G3" i="1"/>
  <c r="G4" i="1"/>
  <c r="G7" i="1"/>
  <c r="G8" i="1"/>
  <c r="G10" i="1"/>
  <c r="G2" i="1"/>
</calcChain>
</file>

<file path=xl/sharedStrings.xml><?xml version="1.0" encoding="utf-8"?>
<sst xmlns="http://schemas.openxmlformats.org/spreadsheetml/2006/main" count="95" uniqueCount="90">
  <si>
    <t>Australia</t>
  </si>
  <si>
    <t>New Zealand</t>
  </si>
  <si>
    <t>Canada</t>
  </si>
  <si>
    <t>United Kingdom</t>
  </si>
  <si>
    <t>People's Party of Canada</t>
  </si>
  <si>
    <t>N/A</t>
  </si>
  <si>
    <t>Denmark</t>
  </si>
  <si>
    <t>Netherlands</t>
  </si>
  <si>
    <t>France</t>
  </si>
  <si>
    <t>Norway</t>
  </si>
  <si>
    <t>Belgium</t>
  </si>
  <si>
    <t>Germany</t>
  </si>
  <si>
    <t>Italy</t>
  </si>
  <si>
    <t>Spain</t>
  </si>
  <si>
    <t>Sweden</t>
  </si>
  <si>
    <t>Vlaams Belang</t>
  </si>
  <si>
    <t>National Rally</t>
  </si>
  <si>
    <t>Alternative for Germany</t>
  </si>
  <si>
    <t>Brothers of Italy</t>
  </si>
  <si>
    <t>Party for Freedom</t>
  </si>
  <si>
    <t>Pauline Hanson</t>
  </si>
  <si>
    <t>Party</t>
  </si>
  <si>
    <t>Leader</t>
  </si>
  <si>
    <t>Alice Weidel</t>
  </si>
  <si>
    <t>Party URL</t>
  </si>
  <si>
    <t>https://www.instagram.com/onenationoz/</t>
  </si>
  <si>
    <t>One Nation</t>
  </si>
  <si>
    <t>Leader URL</t>
  </si>
  <si>
    <t>https://www.instagram.com/senatorpaulinehanson</t>
  </si>
  <si>
    <t>Nigel Farage</t>
  </si>
  <si>
    <t>Geert Wilders</t>
  </si>
  <si>
    <t>Giorgia Meloni</t>
  </si>
  <si>
    <t>https://www.instagram.com/thereformpartyuk</t>
  </si>
  <si>
    <t>Maxime Bernier</t>
  </si>
  <si>
    <t>https://www.instagram.com/peoplespca</t>
  </si>
  <si>
    <t>https://www.instagram.com/hon.maximebernier</t>
  </si>
  <si>
    <t>https://www.instagram.com/nigel_farage</t>
  </si>
  <si>
    <t>https://www.instagram.com/geertwilders</t>
  </si>
  <si>
    <t>https://www.instagram.com/partijvoordevrijheidnl</t>
  </si>
  <si>
    <t>Jordan Bardella</t>
  </si>
  <si>
    <t>https://www.instagram.com/rassemblementnational_fr</t>
  </si>
  <si>
    <t>https://www.instagram.com/jordanbardella</t>
  </si>
  <si>
    <t>https://www.instagram.com/alice.weidel</t>
  </si>
  <si>
    <t>https://www.instagram.com/afd.bund</t>
  </si>
  <si>
    <t>https://www.instagram.com/fratelliditalia</t>
  </si>
  <si>
    <t>https://www.instagram.com/giorgiameloni/</t>
  </si>
  <si>
    <t>Donald Trump</t>
  </si>
  <si>
    <t>https://www.instagram.com/realdonaldtrump</t>
  </si>
  <si>
    <t>https://www.instagram.com/republicans/</t>
  </si>
  <si>
    <t>Tom Van Grieken</t>
  </si>
  <si>
    <t>https://www.instagram.com/vlaamsbelang</t>
  </si>
  <si>
    <t>https://www.instagram.com/vox_es</t>
  </si>
  <si>
    <t>Santiago Abascal</t>
  </si>
  <si>
    <t>https://www.instagram.com/santi_abascal</t>
  </si>
  <si>
    <t>https://www.instagram.com/sverigedemokraterna</t>
  </si>
  <si>
    <t>https://www.instagram.com/akesson.jimmie</t>
  </si>
  <si>
    <t>Jimmie Åkesson</t>
  </si>
  <si>
    <t>https://www.instagram.com/vangriekentom</t>
  </si>
  <si>
    <t>Progress Party</t>
  </si>
  <si>
    <t>https://www.instagram.com/fremskrittspartiet/</t>
  </si>
  <si>
    <t>Sylvi Listhaug</t>
  </si>
  <si>
    <t>Morten Messerschmidt</t>
  </si>
  <si>
    <t>https://www.instagram.com/mrmesserschmidt</t>
  </si>
  <si>
    <t>EU Election</t>
  </si>
  <si>
    <t>Patriots for Europe</t>
  </si>
  <si>
    <t>https://www.instagram.com/patriotsep/</t>
  </si>
  <si>
    <t>https://www.instagram.com/sylvi_listhaug</t>
  </si>
  <si>
    <t>https://www.instagram.com/dansk_folkeparti_1995</t>
  </si>
  <si>
    <t>Reform UK</t>
  </si>
  <si>
    <t>Vox</t>
  </si>
  <si>
    <t>Elections on 30 June &amp; 7 July (127 days)</t>
  </si>
  <si>
    <t>Election from June 6 to June 9 (123 days)</t>
  </si>
  <si>
    <t>GOP</t>
  </si>
  <si>
    <t>Danish People's Party</t>
  </si>
  <si>
    <t>EXCLUSIONS</t>
  </si>
  <si>
    <t>Excluded due to magnitude of advertising/infeasible analysis compared to others</t>
  </si>
  <si>
    <t>Excluded due to time frame</t>
  </si>
  <si>
    <r>
      <t>Country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</si>
  <si>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r>
      <t>Election Date End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</si>
  <si>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r>
      <t>Scrape Date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</si>
  <si>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t>Notes + Exclusion</t>
  </si>
  <si>
    <t>United States of America</t>
  </si>
  <si>
    <t>1. Ordered by 5, 9, 14 Eyes, the EU, Exclusions
2. Multiple/multi-day elections for some</t>
  </si>
  <si>
    <t>New Zealand Loyal</t>
  </si>
  <si>
    <t>Elizabeth Cooney (Liz Gunn)</t>
  </si>
  <si>
    <t>3. From 120 days prior, longer for cases of (2)
4. Limited AI use pre ~2024</t>
  </si>
  <si>
    <t xml:space="preserve"> NZ First, Visions NZ and Freedom NZ are right-wing populist rather than far-right - NZ Loyal severe org issues, alt media platforms, deregistered + excluded due to time frame</t>
  </si>
  <si>
    <r>
      <t>Election Post-2024?</t>
    </r>
    <r>
      <rPr>
        <b/>
        <vertAlign val="superscript"/>
        <sz val="11"/>
        <color theme="1"/>
        <rFont val="Aptos Narrow"/>
        <family val="2"/>
        <scheme val="minor"/>
      </rPr>
      <t>4</t>
    </r>
  </si>
  <si>
    <t>(Denmark Democrats…?) Excluded due to time frame</t>
  </si>
  <si>
    <t>Sweden Democrats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</si>
</sst>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16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artijvoordevrijheidnl" TargetMode="External"/><Relationship Id="rId13" Type="http://schemas.openxmlformats.org/officeDocument/2006/relationships/hyperlink" Target="https://www.instagram.com/fratelliditalia" TargetMode="External"/><Relationship Id="rId18" Type="http://schemas.openxmlformats.org/officeDocument/2006/relationships/hyperlink" Target="https://www.instagram.com/sverigedemokraterna" TargetMode="External"/><Relationship Id="rId26" Type="http://schemas.openxmlformats.org/officeDocument/2006/relationships/hyperlink" Target="https://www.instagram.com/dansk_folkeparti_1995" TargetMode="External"/><Relationship Id="rId3" Type="http://schemas.openxmlformats.org/officeDocument/2006/relationships/hyperlink" Target="https://www.instagram.com/thereformpartyuk" TargetMode="External"/><Relationship Id="rId21" Type="http://schemas.openxmlformats.org/officeDocument/2006/relationships/hyperlink" Target="https://www.instagram.com/fremskrittspartiet/" TargetMode="External"/><Relationship Id="rId7" Type="http://schemas.openxmlformats.org/officeDocument/2006/relationships/hyperlink" Target="https://www.instagram.com/geertwilders" TargetMode="External"/><Relationship Id="rId12" Type="http://schemas.openxmlformats.org/officeDocument/2006/relationships/hyperlink" Target="https://www.instagram.com/afd.bund" TargetMode="External"/><Relationship Id="rId17" Type="http://schemas.openxmlformats.org/officeDocument/2006/relationships/hyperlink" Target="https://www.instagram.com/vox_es" TargetMode="External"/><Relationship Id="rId25" Type="http://schemas.openxmlformats.org/officeDocument/2006/relationships/hyperlink" Target="https://www.instagram.com/mrmesserschmidt" TargetMode="External"/><Relationship Id="rId2" Type="http://schemas.openxmlformats.org/officeDocument/2006/relationships/hyperlink" Target="https://www.instagram.com/senatorpaulinehanson" TargetMode="External"/><Relationship Id="rId16" Type="http://schemas.openxmlformats.org/officeDocument/2006/relationships/hyperlink" Target="https://www.instagram.com/vlaamsbelang" TargetMode="External"/><Relationship Id="rId20" Type="http://schemas.openxmlformats.org/officeDocument/2006/relationships/hyperlink" Target="https://www.instagram.com/vangriekent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instagram.com/onenationoz/" TargetMode="External"/><Relationship Id="rId6" Type="http://schemas.openxmlformats.org/officeDocument/2006/relationships/hyperlink" Target="https://www.instagram.com/nigel_farage" TargetMode="External"/><Relationship Id="rId11" Type="http://schemas.openxmlformats.org/officeDocument/2006/relationships/hyperlink" Target="https://www.instagram.com/alice.weidel" TargetMode="External"/><Relationship Id="rId24" Type="http://schemas.openxmlformats.org/officeDocument/2006/relationships/hyperlink" Target="https://www.instagram.com/sylvi_listhaug" TargetMode="External"/><Relationship Id="rId5" Type="http://schemas.openxmlformats.org/officeDocument/2006/relationships/hyperlink" Target="https://www.instagram.com/hon.maximebernier" TargetMode="External"/><Relationship Id="rId15" Type="http://schemas.openxmlformats.org/officeDocument/2006/relationships/hyperlink" Target="https://www.instagram.com/republicans/" TargetMode="External"/><Relationship Id="rId23" Type="http://schemas.openxmlformats.org/officeDocument/2006/relationships/hyperlink" Target="https://www.instagram.com/jordanbardella" TargetMode="External"/><Relationship Id="rId28" Type="http://schemas.openxmlformats.org/officeDocument/2006/relationships/hyperlink" Target="https://www.instagram.com/santi_abascal" TargetMode="External"/><Relationship Id="rId10" Type="http://schemas.openxmlformats.org/officeDocument/2006/relationships/hyperlink" Target="https://www.instagram.com/jordanbardella" TargetMode="External"/><Relationship Id="rId19" Type="http://schemas.openxmlformats.org/officeDocument/2006/relationships/hyperlink" Target="https://www.instagram.com/akesson.jimmie" TargetMode="External"/><Relationship Id="rId4" Type="http://schemas.openxmlformats.org/officeDocument/2006/relationships/hyperlink" Target="https://www.instagram.com/peoplespca" TargetMode="External"/><Relationship Id="rId9" Type="http://schemas.openxmlformats.org/officeDocument/2006/relationships/hyperlink" Target="https://www.instagram.com/rassemblementnational_fr" TargetMode="External"/><Relationship Id="rId14" Type="http://schemas.openxmlformats.org/officeDocument/2006/relationships/hyperlink" Target="https://www.instagram.com/giorgiameloni/" TargetMode="External"/><Relationship Id="rId22" Type="http://schemas.openxmlformats.org/officeDocument/2006/relationships/hyperlink" Target="https://www.instagram.com/patriotsep/" TargetMode="External"/><Relationship Id="rId27" Type="http://schemas.openxmlformats.org/officeDocument/2006/relationships/hyperlink" Target="https://www.instagram.com/realdonaldtru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E050-EC18-4EA3-A1D3-3AF9BDCE9634}">
  <dimension ref="A1:I25"/>
  <sheetViews>
    <sheetView tabSelected="1" topLeftCell="B1" zoomScaleNormal="100" workbookViewId="0">
      <selection activeCell="B22" sqref="B22"/>
    </sheetView>
  </sheetViews>
  <sheetFormatPr defaultColWidth="41.28515625" defaultRowHeight="33" customHeight="1" x14ac:dyDescent="0.25"/>
  <cols>
    <col min="3" max="3" width="51" customWidth="1"/>
    <col min="4" max="4" width="26" customWidth="1"/>
    <col min="5" max="5" width="47.5703125" customWidth="1"/>
    <col min="6" max="6" width="20.85546875" style="2" customWidth="1"/>
    <col min="7" max="7" width="23.7109375" style="2" customWidth="1"/>
    <col min="8" max="8" width="23.7109375" customWidth="1"/>
    <col min="9" max="9" width="84.7109375" customWidth="1"/>
  </cols>
  <sheetData>
    <row r="1" spans="1:9" ht="33" customHeight="1" x14ac:dyDescent="0.25">
      <c r="A1" s="3" t="s">
        <v>77</v>
      </c>
      <c r="B1" s="3" t="s">
        <v>21</v>
      </c>
      <c r="C1" s="3" t="s">
        <v>24</v>
      </c>
      <c r="D1" s="3" t="s">
        <v>22</v>
      </c>
      <c r="E1" s="3" t="s">
        <v>27</v>
      </c>
      <c r="F1" s="5" t="s">
        <v>78</v>
      </c>
      <c r="G1" s="5" t="s">
        <v>79</v>
      </c>
      <c r="H1" s="3" t="s">
        <v>87</v>
      </c>
      <c r="I1" s="3" t="s">
        <v>80</v>
      </c>
    </row>
    <row r="2" spans="1:9" ht="33" customHeight="1" x14ac:dyDescent="0.25">
      <c r="A2" t="s">
        <v>0</v>
      </c>
      <c r="B2" t="s">
        <v>26</v>
      </c>
      <c r="C2" s="1" t="s">
        <v>25</v>
      </c>
      <c r="D2" t="s">
        <v>20</v>
      </c>
      <c r="E2" s="1" t="s">
        <v>28</v>
      </c>
      <c r="F2" s="2">
        <v>45780</v>
      </c>
      <c r="G2" s="2">
        <f>F2-120</f>
        <v>45660</v>
      </c>
      <c r="H2" t="b">
        <f>F2&gt;DATE(2024,1,1)</f>
        <v>1</v>
      </c>
    </row>
    <row r="3" spans="1:9" ht="33" customHeight="1" x14ac:dyDescent="0.25">
      <c r="A3" t="s">
        <v>2</v>
      </c>
      <c r="B3" t="s">
        <v>4</v>
      </c>
      <c r="C3" s="1" t="s">
        <v>34</v>
      </c>
      <c r="D3" t="s">
        <v>33</v>
      </c>
      <c r="E3" s="1" t="s">
        <v>35</v>
      </c>
      <c r="F3" s="2">
        <v>45775</v>
      </c>
      <c r="G3" s="2">
        <f t="shared" ref="G3:G10" si="0">F3-120</f>
        <v>45655</v>
      </c>
      <c r="H3" t="b">
        <f>F3&gt;DATE(2024,1,1)</f>
        <v>1</v>
      </c>
    </row>
    <row r="4" spans="1:9" ht="33" customHeight="1" x14ac:dyDescent="0.25">
      <c r="A4" t="s">
        <v>3</v>
      </c>
      <c r="B4" t="s">
        <v>68</v>
      </c>
      <c r="C4" s="1" t="s">
        <v>32</v>
      </c>
      <c r="D4" t="s">
        <v>29</v>
      </c>
      <c r="E4" s="1" t="s">
        <v>36</v>
      </c>
      <c r="F4" s="2">
        <v>45477</v>
      </c>
      <c r="G4" s="2">
        <f t="shared" si="0"/>
        <v>45357</v>
      </c>
      <c r="H4" t="b">
        <f>F4&gt;DATE(2024,1,1)</f>
        <v>1</v>
      </c>
    </row>
    <row r="6" spans="1:9" ht="33" customHeight="1" x14ac:dyDescent="0.25">
      <c r="A6" t="s">
        <v>8</v>
      </c>
      <c r="B6" t="s">
        <v>16</v>
      </c>
      <c r="C6" s="1" t="s">
        <v>40</v>
      </c>
      <c r="D6" t="s">
        <v>39</v>
      </c>
      <c r="E6" s="1" t="s">
        <v>41</v>
      </c>
      <c r="F6" s="2">
        <v>45480</v>
      </c>
      <c r="G6" s="2">
        <f>F6-127</f>
        <v>45353</v>
      </c>
      <c r="H6" t="b">
        <f>F6&gt;DATE(2024,1,1)</f>
        <v>1</v>
      </c>
      <c r="I6" t="s">
        <v>70</v>
      </c>
    </row>
    <row r="7" spans="1:9" ht="33" customHeight="1" x14ac:dyDescent="0.25">
      <c r="A7" t="s">
        <v>7</v>
      </c>
      <c r="B7" t="s">
        <v>19</v>
      </c>
      <c r="C7" s="1" t="s">
        <v>38</v>
      </c>
      <c r="D7" t="s">
        <v>30</v>
      </c>
      <c r="E7" s="1" t="s">
        <v>37</v>
      </c>
      <c r="F7" s="2">
        <v>45959</v>
      </c>
      <c r="G7" s="2">
        <f t="shared" si="0"/>
        <v>45839</v>
      </c>
      <c r="H7" t="b">
        <f>F7&gt;DATE(2024,1,1)</f>
        <v>1</v>
      </c>
    </row>
    <row r="8" spans="1:9" ht="33" customHeight="1" x14ac:dyDescent="0.25">
      <c r="A8" t="s">
        <v>9</v>
      </c>
      <c r="B8" t="s">
        <v>58</v>
      </c>
      <c r="C8" s="1" t="s">
        <v>59</v>
      </c>
      <c r="D8" t="s">
        <v>60</v>
      </c>
      <c r="E8" s="1" t="s">
        <v>66</v>
      </c>
      <c r="F8" s="2">
        <v>45908</v>
      </c>
      <c r="G8" s="2">
        <f t="shared" si="0"/>
        <v>45788</v>
      </c>
      <c r="H8" t="b">
        <f>F8&gt;DATE(2024,1,1)</f>
        <v>1</v>
      </c>
    </row>
    <row r="10" spans="1:9" ht="33" customHeight="1" x14ac:dyDescent="0.25">
      <c r="A10" t="s">
        <v>10</v>
      </c>
      <c r="B10" t="s">
        <v>15</v>
      </c>
      <c r="C10" s="1" t="s">
        <v>50</v>
      </c>
      <c r="D10" t="s">
        <v>49</v>
      </c>
      <c r="E10" s="1" t="s">
        <v>57</v>
      </c>
      <c r="F10" s="2">
        <v>45452</v>
      </c>
      <c r="G10" s="2">
        <f t="shared" si="0"/>
        <v>45332</v>
      </c>
      <c r="H10" t="b">
        <f>F10&gt;DATE(2024,1,1)</f>
        <v>1</v>
      </c>
    </row>
    <row r="11" spans="1:9" ht="33" customHeight="1" x14ac:dyDescent="0.25">
      <c r="A11" t="s">
        <v>11</v>
      </c>
      <c r="B11" t="s">
        <v>17</v>
      </c>
      <c r="C11" s="1" t="s">
        <v>43</v>
      </c>
      <c r="D11" t="s">
        <v>23</v>
      </c>
      <c r="E11" s="1" t="s">
        <v>42</v>
      </c>
      <c r="F11" s="2">
        <v>45711</v>
      </c>
      <c r="G11" s="2">
        <f>F11-120</f>
        <v>45591</v>
      </c>
      <c r="H11" t="b">
        <f>F11&gt;DATE(2024,1,1)</f>
        <v>1</v>
      </c>
    </row>
    <row r="13" spans="1:9" ht="33" customHeight="1" x14ac:dyDescent="0.25">
      <c r="A13" t="s">
        <v>63</v>
      </c>
      <c r="B13" t="s">
        <v>64</v>
      </c>
      <c r="C13" s="1" t="s">
        <v>65</v>
      </c>
      <c r="D13" t="s">
        <v>39</v>
      </c>
      <c r="E13" s="1" t="s">
        <v>41</v>
      </c>
      <c r="F13" s="2">
        <v>45452</v>
      </c>
      <c r="G13" s="2">
        <f>F13-123</f>
        <v>45329</v>
      </c>
      <c r="H13" t="b">
        <f>F13&gt;DATE(2024,1,1)</f>
        <v>1</v>
      </c>
      <c r="I13" t="s">
        <v>71</v>
      </c>
    </row>
    <row r="15" spans="1:9" ht="33" customHeight="1" x14ac:dyDescent="0.25">
      <c r="A15" s="3" t="s">
        <v>74</v>
      </c>
    </row>
    <row r="16" spans="1:9" ht="33" customHeight="1" x14ac:dyDescent="0.25">
      <c r="A16" t="s">
        <v>1</v>
      </c>
      <c r="B16" t="s">
        <v>83</v>
      </c>
      <c r="C16" t="s">
        <v>5</v>
      </c>
      <c r="D16" t="s">
        <v>84</v>
      </c>
      <c r="E16" t="s">
        <v>5</v>
      </c>
      <c r="F16" s="2">
        <v>45213</v>
      </c>
      <c r="G16" s="2">
        <f>F16-120</f>
        <v>45093</v>
      </c>
      <c r="H16" t="b">
        <f t="shared" ref="H16:H21" si="1">F16&gt;DATE(2024,1,1)</f>
        <v>0</v>
      </c>
      <c r="I16" s="4" t="s">
        <v>86</v>
      </c>
    </row>
    <row r="17" spans="1:9" ht="33" customHeight="1" x14ac:dyDescent="0.25">
      <c r="A17" t="s">
        <v>81</v>
      </c>
      <c r="B17" t="s">
        <v>72</v>
      </c>
      <c r="C17" s="1" t="s">
        <v>48</v>
      </c>
      <c r="D17" t="s">
        <v>46</v>
      </c>
      <c r="E17" s="1" t="s">
        <v>47</v>
      </c>
      <c r="F17" s="2">
        <v>45601</v>
      </c>
      <c r="G17" s="2">
        <f t="shared" ref="G17:G21" si="2">F17-120</f>
        <v>45481</v>
      </c>
      <c r="H17" t="b">
        <f t="shared" si="1"/>
        <v>1</v>
      </c>
      <c r="I17" t="s">
        <v>75</v>
      </c>
    </row>
    <row r="18" spans="1:9" ht="33" customHeight="1" x14ac:dyDescent="0.25">
      <c r="A18" t="s">
        <v>6</v>
      </c>
      <c r="B18" t="s">
        <v>73</v>
      </c>
      <c r="C18" s="1" t="s">
        <v>67</v>
      </c>
      <c r="D18" t="s">
        <v>61</v>
      </c>
      <c r="E18" s="1" t="s">
        <v>62</v>
      </c>
      <c r="F18" s="2">
        <v>44866</v>
      </c>
      <c r="G18" s="2">
        <f t="shared" si="2"/>
        <v>44746</v>
      </c>
      <c r="H18" t="b">
        <f t="shared" si="1"/>
        <v>0</v>
      </c>
      <c r="I18" t="s">
        <v>88</v>
      </c>
    </row>
    <row r="19" spans="1:9" ht="33" customHeight="1" x14ac:dyDescent="0.25">
      <c r="A19" t="s">
        <v>12</v>
      </c>
      <c r="B19" t="s">
        <v>18</v>
      </c>
      <c r="C19" s="1" t="s">
        <v>44</v>
      </c>
      <c r="D19" t="s">
        <v>31</v>
      </c>
      <c r="E19" s="1" t="s">
        <v>45</v>
      </c>
      <c r="F19" s="2">
        <v>44829</v>
      </c>
      <c r="G19" s="2">
        <f t="shared" si="2"/>
        <v>44709</v>
      </c>
      <c r="H19" t="b">
        <f t="shared" si="1"/>
        <v>0</v>
      </c>
      <c r="I19" t="s">
        <v>76</v>
      </c>
    </row>
    <row r="20" spans="1:9" ht="33" customHeight="1" x14ac:dyDescent="0.25">
      <c r="A20" t="s">
        <v>14</v>
      </c>
      <c r="B20" t="s">
        <v>89</v>
      </c>
      <c r="C20" s="1" t="s">
        <v>54</v>
      </c>
      <c r="D20" t="s">
        <v>56</v>
      </c>
      <c r="E20" s="1" t="s">
        <v>55</v>
      </c>
      <c r="F20" s="2">
        <v>44815</v>
      </c>
      <c r="G20" s="2">
        <f t="shared" si="2"/>
        <v>44695</v>
      </c>
      <c r="H20" t="b">
        <f t="shared" si="1"/>
        <v>0</v>
      </c>
      <c r="I20" t="s">
        <v>76</v>
      </c>
    </row>
    <row r="21" spans="1:9" ht="33" customHeight="1" x14ac:dyDescent="0.25">
      <c r="A21" t="s">
        <v>13</v>
      </c>
      <c r="B21" t="s">
        <v>69</v>
      </c>
      <c r="C21" s="1" t="s">
        <v>51</v>
      </c>
      <c r="D21" t="s">
        <v>52</v>
      </c>
      <c r="E21" s="1" t="s">
        <v>53</v>
      </c>
      <c r="F21" s="2">
        <v>45130</v>
      </c>
      <c r="G21" s="2">
        <f t="shared" si="2"/>
        <v>45010</v>
      </c>
      <c r="H21" t="b">
        <f t="shared" si="1"/>
        <v>0</v>
      </c>
      <c r="I21" t="s">
        <v>76</v>
      </c>
    </row>
    <row r="23" spans="1:9" ht="33" customHeight="1" x14ac:dyDescent="0.25">
      <c r="A23" s="4" t="s">
        <v>82</v>
      </c>
    </row>
    <row r="24" spans="1:9" ht="33" customHeight="1" x14ac:dyDescent="0.25">
      <c r="A24" s="4" t="s">
        <v>85</v>
      </c>
    </row>
    <row r="25" spans="1:9" ht="33" customHeight="1" x14ac:dyDescent="0.25">
      <c r="H25" s="4"/>
    </row>
  </sheetData>
  <hyperlinks>
    <hyperlink ref="C2" r:id="rId1" xr:uid="{B707B8EC-9828-44F1-AB44-6A02E9ADB791}"/>
    <hyperlink ref="E2" r:id="rId2" xr:uid="{CA803AF1-8D12-4874-95BD-450D072B5E38}"/>
    <hyperlink ref="C4" r:id="rId3" xr:uid="{A2B1E674-E087-47A6-A1B3-A0698A30278C}"/>
    <hyperlink ref="C3" r:id="rId4" xr:uid="{EDF7F3CD-A935-4AE3-8150-2BC2E1F69364}"/>
    <hyperlink ref="E3" r:id="rId5" xr:uid="{28EF3A09-AF96-4F22-BF77-2D1BEBA9877F}"/>
    <hyperlink ref="E4" r:id="rId6" xr:uid="{D519A88E-127E-4777-AF58-719D41ED188E}"/>
    <hyperlink ref="E7" r:id="rId7" xr:uid="{DF5A6BA4-057D-46B3-8AC1-DD8F40A342ED}"/>
    <hyperlink ref="C7" r:id="rId8" xr:uid="{B69BFE10-DE89-4A55-AB4A-5363F5638CBA}"/>
    <hyperlink ref="C6" r:id="rId9" xr:uid="{1645135C-2E14-465F-9C86-70B492F26B0B}"/>
    <hyperlink ref="E6" r:id="rId10" xr:uid="{6A89A563-42D2-4E96-ABAD-8C06DB29E6C4}"/>
    <hyperlink ref="E11" r:id="rId11" xr:uid="{8C92AA90-CB94-4891-9FCA-6E35DD963939}"/>
    <hyperlink ref="C11" r:id="rId12" xr:uid="{25275408-AA3A-45BB-BE9F-2FF224F766C0}"/>
    <hyperlink ref="C19" r:id="rId13" xr:uid="{D76CDBAC-C513-426D-B823-AF6BF9AE7C57}"/>
    <hyperlink ref="E19" r:id="rId14" xr:uid="{F263CC4F-C354-4A67-A1C8-B2DD97616DEB}"/>
    <hyperlink ref="C17" r:id="rId15" xr:uid="{4E1A4ED5-90A0-4A95-A69E-06DA8038A807}"/>
    <hyperlink ref="C10" r:id="rId16" xr:uid="{E56D0BE7-72F0-49B3-89FF-C4D972422C80}"/>
    <hyperlink ref="C21" r:id="rId17" xr:uid="{82616692-82F5-40DD-B8A0-D6B3D265BE3C}"/>
    <hyperlink ref="C20" r:id="rId18" xr:uid="{131471FB-FF71-4087-B8C8-FD9508C5573D}"/>
    <hyperlink ref="E20" r:id="rId19" xr:uid="{1C2F3D10-5898-4EF0-9CC2-C13A202F9840}"/>
    <hyperlink ref="E10" r:id="rId20" xr:uid="{9E83E78B-513B-4C8B-AFFB-A3A9BF0F207F}"/>
    <hyperlink ref="C8" r:id="rId21" xr:uid="{2FCB1E8E-7D9A-4AC6-8A3F-C7974DC771E9}"/>
    <hyperlink ref="C13" r:id="rId22" xr:uid="{A94A5FE6-6535-4767-B0EE-2264CE0A0AAD}"/>
    <hyperlink ref="E13" r:id="rId23" xr:uid="{D0F587C9-C786-4D8E-8B9B-95EF1919CF8C}"/>
    <hyperlink ref="E8" r:id="rId24" xr:uid="{FCF830E5-1385-4F96-B5CE-BA8D7EC6D2E5}"/>
    <hyperlink ref="E18" r:id="rId25" xr:uid="{67F510C7-2D6B-41EB-963E-5E421D48F495}"/>
    <hyperlink ref="C18" r:id="rId26" xr:uid="{81850C78-F271-4FE9-B1F0-1CC1C0073908}"/>
    <hyperlink ref="E17" r:id="rId27" xr:uid="{FAB99009-3DFD-4704-8295-869E1F766675}"/>
    <hyperlink ref="E21" r:id="rId28" xr:uid="{CF2FB6EA-F8FB-41D6-AAC1-1577256B4058}"/>
  </hyperlinks>
  <pageMargins left="0.7" right="0.7" top="0.75" bottom="0.75" header="0.3" footer="0.3"/>
  <pageSetup orientation="portrait" r:id="rId2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E9105C2F9684AAD0BE2BD39A0B802" ma:contentTypeVersion="5" ma:contentTypeDescription="Create a new document." ma:contentTypeScope="" ma:versionID="8a82d291222b7728188eff61f683e016">
  <xsd:schema xmlns:xsd="http://www.w3.org/2001/XMLSchema" xmlns:xs="http://www.w3.org/2001/XMLSchema" xmlns:p="http://schemas.microsoft.com/office/2006/metadata/properties" xmlns:ns3="dc6ed387-cf9f-4347-aaec-3a07f67b0c56" targetNamespace="http://schemas.microsoft.com/office/2006/metadata/properties" ma:root="true" ma:fieldsID="6a32a0cd5e2da8ac34bc4784c61c5477" ns3:_="">
    <xsd:import namespace="dc6ed387-cf9f-4347-aaec-3a07f67b0c5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ed387-cf9f-4347-aaec-3a07f67b0c5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6ed387-cf9f-4347-aaec-3a07f67b0c56" xsi:nil="true"/>
  </documentManagement>
</p:properties>
</file>

<file path=customXml/itemProps1.xml><?xml version="1.0" encoding="utf-8"?>
<ds:datastoreItem xmlns:ds="http://schemas.openxmlformats.org/officeDocument/2006/customXml" ds:itemID="{D8E4F8F7-DE14-4ABD-828F-225951D695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0BD30C-289D-452E-8114-D84B009CC7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6ed387-cf9f-4347-aaec-3a07f67b0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CFF66A-2617-472E-84A0-B7506698691F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dc6ed387-cf9f-4347-aaec-3a07f67b0c56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 Marks (23643805)</dc:creator>
  <cp:lastModifiedBy>Elle Marks (23643805)</cp:lastModifiedBy>
  <dcterms:created xsi:type="dcterms:W3CDTF">2026-06-22T13:33:42Z</dcterms:created>
  <dcterms:modified xsi:type="dcterms:W3CDTF">2026-07-01T03:23:52Z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0x0101001C9E9105C2F9684AAD0BE2BD39A0B802</vt:lpwstr>
  </property>
</Properties>
</file>